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.oliveira\Downloads\"/>
    </mc:Choice>
  </mc:AlternateContent>
  <xr:revisionPtr revIDLastSave="0" documentId="13_ncr:1_{C8A83515-2013-4869-B9AD-36411E050933}" xr6:coauthVersionLast="47" xr6:coauthVersionMax="47" xr10:uidLastSave="{00000000-0000-0000-0000-000000000000}"/>
  <bookViews>
    <workbookView xWindow="-108" yWindow="-108" windowWidth="23256" windowHeight="12456" tabRatio="645" xr2:uid="{5DE49C1B-7F25-48C3-9E84-0433DF18C65F}"/>
  </bookViews>
  <sheets>
    <sheet name="APP INVEST." sheetId="1" r:id="rId1"/>
    <sheet name="Planilha2" sheetId="2" state="hidden" r:id="rId2"/>
  </sheets>
  <definedNames>
    <definedName name="aporte">'APP INVEST.'!$D$13</definedName>
    <definedName name="Patrimonio">'APP INVEST.'!$D$16</definedName>
    <definedName name="Qtd_anos">'APP INVEST.'!$D$14</definedName>
    <definedName name="rendimento_carteira">'APP INVEST.'!$D$9</definedName>
    <definedName name="Salario">'APP INVEST.'!$D$8</definedName>
    <definedName name="Sugestao_Invstimento">'APP INVEST.'!$D$10</definedName>
    <definedName name="Taxa_mensal">'APP INVEST.'!$D$15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4" i="1"/>
  <c r="C33" i="1"/>
  <c r="C32" i="1"/>
  <c r="C31" i="1"/>
  <c r="C30" i="1"/>
  <c r="A15" i="2"/>
  <c r="A16" i="2"/>
  <c r="A17" i="2"/>
  <c r="A18" i="2"/>
  <c r="A19" i="2"/>
  <c r="A20" i="2"/>
  <c r="A10" i="2"/>
  <c r="A11" i="2"/>
  <c r="A12" i="2"/>
  <c r="A13" i="2"/>
  <c r="A14" i="2"/>
  <c r="A9" i="2"/>
  <c r="A4" i="2"/>
  <c r="A5" i="2"/>
  <c r="A6" i="2"/>
  <c r="A7" i="2"/>
  <c r="A8" i="2"/>
  <c r="A3" i="2"/>
  <c r="C27" i="1"/>
  <c r="D10" i="1"/>
  <c r="D16" i="1"/>
  <c r="D17" i="1" s="1"/>
  <c r="C24" i="1"/>
  <c r="D24" i="1" s="1"/>
  <c r="C23" i="1"/>
  <c r="D23" i="1" s="1"/>
  <c r="C22" i="1"/>
  <c r="D22" i="1" s="1"/>
  <c r="C21" i="1"/>
  <c r="D21" i="1" s="1"/>
  <c r="C20" i="1"/>
  <c r="D20" i="1" s="1"/>
  <c r="D30" i="1" l="1"/>
  <c r="D31" i="1"/>
  <c r="D33" i="1"/>
  <c r="D32" i="1"/>
  <c r="D34" i="1"/>
  <c r="D35" i="1"/>
  <c r="C36" i="1"/>
  <c r="D36" i="1" l="1"/>
</calcChain>
</file>

<file path=xl/sharedStrings.xml><?xml version="1.0" encoding="utf-8"?>
<sst xmlns="http://schemas.openxmlformats.org/spreadsheetml/2006/main" count="77" uniqueCount="42">
  <si>
    <t>Quanto investir por mês?</t>
  </si>
  <si>
    <t>Por Quantos Anos?</t>
  </si>
  <si>
    <t>Taxa de Rendimento mensal?</t>
  </si>
  <si>
    <t>Dividendos Mensais?</t>
  </si>
  <si>
    <t>INVESTIMENTO MENSAL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</si>
  <si>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</si>
  <si>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</si>
  <si>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</si>
  <si>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</si>
  <si>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</si>
  <si>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</si>
  <si>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</si>
  <si>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</si>
  <si>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Rendimento Carteira</t>
  </si>
  <si>
    <t>Sálario</t>
  </si>
  <si>
    <t>Perfil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</si>
  <si>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</si>
  <si>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</si>
  <si>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</si>
  <si>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</si>
  <si>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</si>
  <si>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</si>
  <si>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</si>
  <si>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</si>
  <si>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</si>
  <si>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</si>
  <si>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</si>
  <si>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</si>
  <si>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</si>
  <si>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</si>
  <si>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</si>
  <si>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Total</t>
  </si>
  <si>
    <t>Sugestão de Investimento (30%)</t>
  </si>
  <si>
    <t>CONFIGURAÇÕES INICIAIS</t>
  </si>
  <si>
    <t>Dicas de onde buscar FIIs</t>
  </si>
  <si>
    <t>Site Oficial</t>
  </si>
  <si>
    <t>🥇 1) Funds Explorer</t>
  </si>
  <si>
    <t>https://www.fundsexplorer.com.br</t>
  </si>
  <si>
    <t>🥈 2) Status Invest</t>
  </si>
  <si>
    <t>https://statusinvest.com.br</t>
  </si>
  <si>
    <t>🥉 3) FIIs.com.br</t>
  </si>
  <si>
    <t>https://fiis.com.br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</si>
</sst>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</fills>
  <borders count="38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2060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rgb="FF002060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002060"/>
      </left>
      <right style="medium">
        <color theme="0" tint="-0.34998626667073579"/>
      </right>
      <top style="medium">
        <color theme="0" tint="-0.34998626667073579"/>
      </top>
      <bottom style="medium">
        <color rgb="FF002060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rgb="FF002060"/>
      </bottom>
      <diagonal/>
    </border>
    <border>
      <left style="medium">
        <color theme="0" tint="-0.34998626667073579"/>
      </left>
      <right style="medium">
        <color rgb="FF002060"/>
      </right>
      <top style="medium">
        <color theme="0" tint="-0.34998626667073579"/>
      </top>
      <bottom style="medium">
        <color rgb="FF002060"/>
      </bottom>
      <diagonal/>
    </border>
    <border>
      <left style="medium">
        <color rgb="FF002060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rgb="FF002060"/>
      </right>
      <top/>
      <bottom style="medium">
        <color theme="0" tint="-0.34998626667073579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 style="medium">
        <color indexed="64"/>
      </right>
      <top style="medium">
        <color rgb="FF002060"/>
      </top>
      <bottom style="medium">
        <color rgb="FF002060"/>
      </bottom>
      <diagonal/>
    </border>
    <border>
      <left style="medium">
        <color indexed="64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rgb="FF002060"/>
      </right>
      <top style="medium">
        <color theme="0" tint="-0.34998626667073579"/>
      </top>
      <bottom style="medium">
        <color indexed="64"/>
      </bottom>
      <diagonal/>
    </border>
    <border>
      <left style="medium">
        <color rgb="FF002060"/>
      </left>
      <right/>
      <top style="medium">
        <color indexed="64"/>
      </top>
      <bottom style="medium">
        <color rgb="FF002060"/>
      </bottom>
      <diagonal/>
    </border>
    <border>
      <left/>
      <right/>
      <top style="medium">
        <color indexed="64"/>
      </top>
      <bottom style="medium">
        <color rgb="FF002060"/>
      </bottom>
      <diagonal/>
    </border>
    <border>
      <left/>
      <right style="medium">
        <color rgb="FF002060"/>
      </right>
      <top style="medium">
        <color indexed="64"/>
      </top>
      <bottom style="medium">
        <color rgb="FF002060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rgb="FF002060"/>
      </right>
      <top style="medium">
        <color rgb="FF002060"/>
      </top>
      <bottom style="medium">
        <color theme="0" tint="-0.34998626667073579"/>
      </bottom>
      <diagonal/>
    </border>
    <border>
      <left/>
      <right style="medium">
        <color rgb="FF002060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rgb="FF002060"/>
      </bottom>
      <diagonal/>
    </border>
    <border>
      <left/>
      <right style="medium">
        <color rgb="FF002060"/>
      </right>
      <top style="medium">
        <color theme="0" tint="-0.34998626667073579"/>
      </top>
      <bottom style="medium">
        <color rgb="FF002060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6" fillId="5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9" fontId="1" fillId="7" borderId="0" xfId="1" applyFont="1" applyFill="1" applyAlignment="1">
      <alignment horizontal="center" vertical="center"/>
    </xf>
    <xf numFmtId="0" fontId="0" fillId="0" borderId="0" xfId="0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8" fillId="0" borderId="0" xfId="0" applyFont="1" applyAlignment="1" applyProtection="1">
      <alignment vertical="center"/>
    </xf>
    <xf numFmtId="0" fontId="2" fillId="4" borderId="19" xfId="0" applyFont="1" applyFill="1" applyBorder="1" applyAlignment="1" applyProtection="1">
      <alignment horizontal="center" vertical="center"/>
    </xf>
    <xf numFmtId="0" fontId="2" fillId="4" borderId="20" xfId="0" applyFont="1" applyFill="1" applyBorder="1" applyAlignment="1" applyProtection="1">
      <alignment horizontal="center" vertical="center"/>
    </xf>
    <xf numFmtId="0" fontId="2" fillId="4" borderId="21" xfId="0" applyFont="1" applyFill="1" applyBorder="1" applyAlignment="1" applyProtection="1">
      <alignment horizontal="center" vertical="center"/>
    </xf>
    <xf numFmtId="0" fontId="3" fillId="3" borderId="16" xfId="0" applyFont="1" applyFill="1" applyBorder="1" applyAlignment="1" applyProtection="1">
      <alignment horizontal="left" vertical="center" indent="3"/>
    </xf>
    <xf numFmtId="0" fontId="3" fillId="3" borderId="17" xfId="0" applyFont="1" applyFill="1" applyBorder="1" applyAlignment="1" applyProtection="1">
      <alignment horizontal="left" vertical="center" indent="3"/>
    </xf>
    <xf numFmtId="0" fontId="3" fillId="3" borderId="11" xfId="0" applyFont="1" applyFill="1" applyBorder="1" applyAlignment="1" applyProtection="1">
      <alignment horizontal="left" vertical="center" indent="3"/>
    </xf>
    <xf numFmtId="0" fontId="3" fillId="3" borderId="1" xfId="0" applyFont="1" applyFill="1" applyBorder="1" applyAlignment="1" applyProtection="1">
      <alignment horizontal="left" vertical="center" indent="3"/>
    </xf>
    <xf numFmtId="0" fontId="3" fillId="3" borderId="13" xfId="0" applyFont="1" applyFill="1" applyBorder="1" applyAlignment="1" applyProtection="1">
      <alignment horizontal="left" vertical="center" indent="3"/>
    </xf>
    <xf numFmtId="0" fontId="3" fillId="3" borderId="14" xfId="0" applyFont="1" applyFill="1" applyBorder="1" applyAlignment="1" applyProtection="1">
      <alignment horizontal="left" vertical="center" indent="3"/>
    </xf>
    <xf numFmtId="164" fontId="4" fillId="3" borderId="15" xfId="0" applyNumberFormat="1" applyFont="1" applyFill="1" applyBorder="1" applyAlignment="1" applyProtection="1">
      <alignment horizontal="center" vertical="center"/>
    </xf>
    <xf numFmtId="0" fontId="2" fillId="2" borderId="19" xfId="0" applyFont="1" applyFill="1" applyBorder="1" applyAlignment="1" applyProtection="1">
      <alignment horizontal="center" vertical="center"/>
    </xf>
    <xf numFmtId="0" fontId="2" fillId="2" borderId="20" xfId="0" applyFont="1" applyFill="1" applyBorder="1" applyAlignment="1" applyProtection="1">
      <alignment horizontal="center" vertical="center"/>
    </xf>
    <xf numFmtId="0" fontId="2" fillId="2" borderId="21" xfId="0" applyFont="1" applyFill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left" vertical="center" indent="3"/>
    </xf>
    <xf numFmtId="0" fontId="3" fillId="0" borderId="17" xfId="0" applyFont="1" applyBorder="1" applyAlignment="1" applyProtection="1">
      <alignment horizontal="left" vertical="center" indent="3"/>
    </xf>
    <xf numFmtId="0" fontId="3" fillId="0" borderId="11" xfId="0" applyFont="1" applyBorder="1" applyAlignment="1" applyProtection="1">
      <alignment horizontal="left" vertical="center" indent="3"/>
    </xf>
    <xf numFmtId="0" fontId="3" fillId="0" borderId="1" xfId="0" applyFont="1" applyBorder="1" applyAlignment="1" applyProtection="1">
      <alignment horizontal="left" vertical="center" indent="3"/>
    </xf>
    <xf numFmtId="0" fontId="4" fillId="3" borderId="11" xfId="0" applyFont="1" applyFill="1" applyBorder="1" applyAlignment="1" applyProtection="1">
      <alignment horizontal="left" vertical="center" indent="3"/>
    </xf>
    <xf numFmtId="0" fontId="4" fillId="3" borderId="1" xfId="0" applyFont="1" applyFill="1" applyBorder="1" applyAlignment="1" applyProtection="1">
      <alignment horizontal="left" vertical="center" indent="3"/>
    </xf>
    <xf numFmtId="8" fontId="4" fillId="3" borderId="12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 applyProtection="1">
      <alignment horizontal="left" vertical="center" indent="3"/>
    </xf>
    <xf numFmtId="0" fontId="4" fillId="3" borderId="14" xfId="0" applyFont="1" applyFill="1" applyBorder="1" applyAlignment="1" applyProtection="1">
      <alignment horizontal="left" vertical="center" indent="3"/>
    </xf>
    <xf numFmtId="8" fontId="4" fillId="3" borderId="15" xfId="0" applyNumberFormat="1" applyFont="1" applyFill="1" applyBorder="1" applyAlignment="1" applyProtection="1">
      <alignment horizontal="center" vertical="center"/>
    </xf>
    <xf numFmtId="0" fontId="2" fillId="2" borderId="22" xfId="0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3" fillId="3" borderId="16" xfId="0" applyFont="1" applyFill="1" applyBorder="1" applyAlignment="1" applyProtection="1">
      <alignment horizontal="left" vertical="center" indent="3"/>
    </xf>
    <xf numFmtId="8" fontId="4" fillId="3" borderId="17" xfId="0" applyNumberFormat="1" applyFont="1" applyFill="1" applyBorder="1" applyAlignment="1" applyProtection="1">
      <alignment horizontal="center" vertical="center"/>
    </xf>
    <xf numFmtId="8" fontId="4" fillId="3" borderId="18" xfId="0" applyNumberFormat="1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 applyProtection="1">
      <alignment horizontal="left" vertical="center" indent="3"/>
    </xf>
    <xf numFmtId="164" fontId="4" fillId="3" borderId="1" xfId="0" applyNumberFormat="1" applyFont="1" applyFill="1" applyBorder="1" applyAlignment="1" applyProtection="1">
      <alignment horizontal="center" vertical="center"/>
    </xf>
    <xf numFmtId="0" fontId="3" fillId="3" borderId="13" xfId="0" applyFont="1" applyFill="1" applyBorder="1" applyAlignment="1" applyProtection="1">
      <alignment horizontal="left" vertical="center" indent="3"/>
    </xf>
    <xf numFmtId="164" fontId="4" fillId="3" borderId="14" xfId="0" applyNumberFormat="1" applyFont="1" applyFill="1" applyBorder="1" applyAlignment="1" applyProtection="1">
      <alignment horizontal="center" vertical="center"/>
    </xf>
    <xf numFmtId="0" fontId="6" fillId="5" borderId="19" xfId="2" applyBorder="1" applyAlignment="1" applyProtection="1">
      <alignment horizontal="center" vertical="center"/>
    </xf>
    <xf numFmtId="0" fontId="0" fillId="3" borderId="24" xfId="0" applyFill="1" applyBorder="1" applyAlignment="1" applyProtection="1">
      <alignment vertical="center"/>
    </xf>
    <xf numFmtId="164" fontId="7" fillId="3" borderId="25" xfId="0" applyNumberFormat="1" applyFont="1" applyFill="1" applyBorder="1" applyAlignment="1" applyProtection="1">
      <alignment horizontal="center" vertical="center"/>
    </xf>
    <xf numFmtId="0" fontId="0" fillId="3" borderId="26" xfId="0" applyFill="1" applyBorder="1" applyAlignment="1" applyProtection="1">
      <alignment vertical="center"/>
    </xf>
    <xf numFmtId="0" fontId="7" fillId="6" borderId="19" xfId="0" applyFont="1" applyFill="1" applyBorder="1" applyAlignment="1" applyProtection="1">
      <alignment horizontal="center" vertical="center"/>
    </xf>
    <xf numFmtId="0" fontId="7" fillId="6" borderId="20" xfId="0" applyFont="1" applyFill="1" applyBorder="1" applyAlignment="1" applyProtection="1">
      <alignment horizontal="center" vertical="center"/>
    </xf>
    <xf numFmtId="0" fontId="7" fillId="6" borderId="21" xfId="0" applyFont="1" applyFill="1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9" fontId="0" fillId="0" borderId="17" xfId="1" applyFont="1" applyBorder="1" applyAlignment="1" applyProtection="1">
      <alignment horizontal="center" vertical="center"/>
    </xf>
    <xf numFmtId="164" fontId="0" fillId="3" borderId="18" xfId="0" applyNumberFormat="1" applyFill="1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9" fontId="0" fillId="0" borderId="1" xfId="1" applyFont="1" applyBorder="1" applyAlignment="1" applyProtection="1">
      <alignment horizontal="center" vertical="center"/>
    </xf>
    <xf numFmtId="164" fontId="0" fillId="3" borderId="12" xfId="0" applyNumberFormat="1" applyFill="1" applyBorder="1" applyAlignment="1" applyProtection="1">
      <alignment horizontal="center" vertical="center"/>
    </xf>
    <xf numFmtId="0" fontId="0" fillId="0" borderId="27" xfId="0" applyBorder="1" applyAlignment="1" applyProtection="1">
      <alignment horizontal="center" vertical="center"/>
    </xf>
    <xf numFmtId="9" fontId="0" fillId="0" borderId="2" xfId="1" applyFont="1" applyBorder="1" applyAlignment="1" applyProtection="1">
      <alignment horizontal="center" vertical="center"/>
    </xf>
    <xf numFmtId="164" fontId="0" fillId="3" borderId="28" xfId="0" applyNumberFormat="1" applyFill="1" applyBorder="1" applyAlignment="1" applyProtection="1">
      <alignment horizontal="center" vertical="center"/>
    </xf>
    <xf numFmtId="0" fontId="0" fillId="6" borderId="29" xfId="0" applyFill="1" applyBorder="1" applyAlignment="1" applyProtection="1">
      <alignment horizontal="center" vertical="center"/>
    </xf>
    <xf numFmtId="9" fontId="0" fillId="6" borderId="30" xfId="0" applyNumberFormat="1" applyFill="1" applyBorder="1" applyAlignment="1" applyProtection="1">
      <alignment horizontal="center" vertical="center"/>
    </xf>
    <xf numFmtId="164" fontId="0" fillId="6" borderId="31" xfId="0" applyNumberFormat="1" applyFill="1" applyBorder="1" applyAlignment="1" applyProtection="1">
      <alignment horizontal="center" vertical="center"/>
    </xf>
    <xf numFmtId="0" fontId="11" fillId="4" borderId="19" xfId="0" applyFont="1" applyFill="1" applyBorder="1" applyAlignment="1" applyProtection="1">
      <alignment horizontal="center" vertical="center"/>
    </xf>
    <xf numFmtId="0" fontId="11" fillId="4" borderId="20" xfId="0" applyFont="1" applyFill="1" applyBorder="1" applyAlignment="1" applyProtection="1">
      <alignment horizontal="center" vertical="center"/>
    </xf>
    <xf numFmtId="0" fontId="11" fillId="4" borderId="21" xfId="0" applyFont="1" applyFill="1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9" fontId="10" fillId="0" borderId="32" xfId="3" applyNumberFormat="1" applyBorder="1" applyAlignment="1" applyProtection="1">
      <alignment horizontal="left" vertical="center"/>
      <protection locked="0"/>
    </xf>
    <xf numFmtId="164" fontId="0" fillId="0" borderId="34" xfId="0" applyNumberFormat="1" applyBorder="1" applyAlignment="1" applyProtection="1">
      <alignment horizontal="center" vertical="center"/>
      <protection locked="0"/>
    </xf>
    <xf numFmtId="9" fontId="10" fillId="0" borderId="33" xfId="3" applyNumberFormat="1" applyBorder="1" applyAlignment="1" applyProtection="1">
      <alignment horizontal="left" vertical="center"/>
      <protection locked="0"/>
    </xf>
    <xf numFmtId="164" fontId="0" fillId="0" borderId="35" xfId="0" applyNumberFormat="1" applyBorder="1" applyAlignment="1" applyProtection="1">
      <alignment horizontal="center" vertical="center"/>
      <protection locked="0"/>
    </xf>
    <xf numFmtId="9" fontId="10" fillId="0" borderId="36" xfId="3" applyNumberFormat="1" applyBorder="1" applyAlignment="1" applyProtection="1">
      <alignment horizontal="left" vertical="center"/>
      <protection locked="0"/>
    </xf>
    <xf numFmtId="164" fontId="0" fillId="0" borderId="37" xfId="0" applyNumberFormat="1" applyBorder="1" applyAlignment="1" applyProtection="1">
      <alignment horizontal="center" vertical="center"/>
      <protection locked="0"/>
    </xf>
    <xf numFmtId="0" fontId="6" fillId="5" borderId="20" xfId="2" applyBorder="1" applyAlignment="1" applyProtection="1">
      <alignment horizontal="center" vertical="center"/>
      <protection locked="0"/>
    </xf>
    <xf numFmtId="0" fontId="6" fillId="5" borderId="21" xfId="2" applyBorder="1" applyAlignment="1" applyProtection="1">
      <alignment horizontal="center" vertical="center"/>
      <protection locked="0"/>
    </xf>
    <xf numFmtId="164" fontId="4" fillId="0" borderId="18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0" fontId="4" fillId="0" borderId="12" xfId="0" applyNumberFormat="1" applyFont="1" applyBorder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Porcentagem" xfId="1" builtinId="5"/>
  </cellStyles>
  <dxfs count="0"/>
  <tableStyles count="1" defaultTableStyle="TableStyleMedium2" defaultPivotStyle="PivotStyleLight16">
    <tableStyle name="Invisible" pivot="0" table="0" count="0" xr9:uid="{CC945E06-0D2F-46EC-9383-55D5CB72BF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Segregação</a:t>
            </a:r>
            <a:r>
              <a:rPr lang="pt-BR" baseline="0"/>
              <a:t> do Investimento por perfil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3E-4C01-B3E4-CCC96D18BE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3E-4C01-B3E4-CCC96D18BE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3E-4C01-B3E4-CCC96D18BE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3E-4C01-B3E4-CCC96D18BE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3E-4C01-B3E4-CCC96D18BE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3E-4C01-B3E4-CCC96D18BE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'APP INVEST.'!$B$30:$B$35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'APP INVEST.'!$C$30:$C$35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9-4D36-B5CB-7F2661020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0</xdr:row>
      <xdr:rowOff>69850</xdr:rowOff>
    </xdr:from>
    <xdr:to>
      <xdr:col>4</xdr:col>
      <xdr:colOff>19050</xdr:colOff>
      <xdr:row>5</xdr:row>
      <xdr:rowOff>120650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99CA8F3-00B4-B043-28EA-3181791C65B1}"/>
            </a:ext>
          </a:extLst>
        </xdr:cNvPr>
        <xdr:cNvSpPr/>
      </xdr:nvSpPr>
      <xdr:spPr>
        <a:xfrm>
          <a:off x="704850" y="69850"/>
          <a:ext cx="5588000" cy="1225550"/>
        </a:xfrm>
        <a:prstGeom prst="roundRect">
          <a:avLst/>
        </a:prstGeom>
        <a:solidFill>
          <a:schemeClr val="accent5">
            <a:lumMod val="75000"/>
          </a:schemeClr>
        </a:solidFill>
        <a:ln w="19050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3200" b="1" u="none">
              <a:latin typeface="Arial" panose="020B0604020202020204" pitchFamily="34" charset="0"/>
              <a:cs typeface="Arial" panose="020B0604020202020204" pitchFamily="34" charset="0"/>
            </a:rPr>
            <a:t>APP INVEST</a:t>
          </a:r>
          <a:br>
            <a:rPr lang="pt-BR" sz="2800" b="1" u="none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pt-BR" sz="2800" b="1" u="none">
              <a:latin typeface="Arial" panose="020B0604020202020204" pitchFamily="34" charset="0"/>
              <a:cs typeface="Arial" panose="020B0604020202020204" pitchFamily="34" charset="0"/>
            </a:rPr>
            <a:t>Parceria -</a:t>
          </a:r>
          <a:r>
            <a:rPr lang="pt-BR" sz="2800" b="1" u="none" baseline="0">
              <a:latin typeface="Arial" panose="020B0604020202020204" pitchFamily="34" charset="0"/>
              <a:cs typeface="Arial" panose="020B0604020202020204" pitchFamily="34" charset="0"/>
            </a:rPr>
            <a:t> DIO</a:t>
          </a:r>
          <a:br>
            <a:rPr lang="pt-BR" sz="2800" b="1" u="none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pt-BR" sz="900" b="1" u="none">
              <a:latin typeface="Arial" panose="020B0604020202020204" pitchFamily="34" charset="0"/>
              <a:cs typeface="Arial" panose="020B0604020202020204" pitchFamily="34" charset="0"/>
            </a:rPr>
            <a:t>Seu</a:t>
          </a:r>
          <a:r>
            <a:rPr lang="pt-BR" sz="900" b="1" u="none" baseline="0">
              <a:latin typeface="Arial" panose="020B0604020202020204" pitchFamily="34" charset="0"/>
              <a:cs typeface="Arial" panose="020B0604020202020204" pitchFamily="34" charset="0"/>
            </a:rPr>
            <a:t> Guia no Mundo do</a:t>
          </a:r>
          <a:r>
            <a:rPr lang="pt-BR" sz="900" b="1" u="none">
              <a:latin typeface="Arial" panose="020B0604020202020204" pitchFamily="34" charset="0"/>
              <a:cs typeface="Arial" panose="020B0604020202020204" pitchFamily="34" charset="0"/>
            </a:rPr>
            <a:t>s investimentos</a:t>
          </a:r>
          <a:endParaRPr lang="pt-BR" sz="2800" b="1" u="non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444500</xdr:colOff>
      <xdr:row>36</xdr:row>
      <xdr:rowOff>57150</xdr:rowOff>
    </xdr:from>
    <xdr:to>
      <xdr:col>4</xdr:col>
      <xdr:colOff>6350</xdr:colOff>
      <xdr:row>47</xdr:row>
      <xdr:rowOff>215900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7C976A-1942-9C73-D154-6477E1E25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is.com.br/" TargetMode="External"/><Relationship Id="rId2" Type="http://schemas.openxmlformats.org/officeDocument/2006/relationships/hyperlink" Target="https://statusinvest.com.br/" TargetMode="External"/><Relationship Id="rId1" Type="http://schemas.openxmlformats.org/officeDocument/2006/relationships/hyperlink" Target="https://www.fundsexplorer.com.b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DF01-3778-459A-A2B5-1875AFC74EA5}">
  <dimension ref="A1:H54"/>
  <sheetViews>
    <sheetView showGridLines="0" tabSelected="1" zoomScale="120" zoomScaleNormal="120" workbookViewId="0">
      <selection activeCell="C53" sqref="C53"/>
    </sheetView>
  </sheetViews>
  <sheetFormatPr defaultColWidth="0" defaultRowHeight="19.05" customHeight="1" zeroHeight="1" x14ac:dyDescent="0.3"/>
  <cols>
    <col min="1" max="1" width="6.77734375" style="14" customWidth="1"/>
    <col min="2" max="2" width="34.21875" style="14" customWidth="1"/>
    <col min="3" max="3" width="26.6640625" style="14" customWidth="1"/>
    <col min="4" max="4" width="20.77734375" style="14" customWidth="1"/>
    <col min="5" max="5" width="6.77734375" style="14" customWidth="1"/>
    <col min="6" max="8" width="6.77734375" style="14" hidden="1" customWidth="1"/>
    <col min="9" max="16384" width="8.88671875" style="14" hidden="1"/>
  </cols>
  <sheetData>
    <row r="1" spans="2:4" ht="19.05" customHeight="1" x14ac:dyDescent="0.3"/>
    <row r="2" spans="2:4" ht="19.05" customHeight="1" x14ac:dyDescent="0.3">
      <c r="B2" s="15"/>
      <c r="C2" s="15"/>
      <c r="D2" s="15"/>
    </row>
    <row r="3" spans="2:4" ht="19.05" customHeight="1" x14ac:dyDescent="0.3">
      <c r="B3" s="15"/>
      <c r="C3" s="15"/>
      <c r="D3" s="15"/>
    </row>
    <row r="4" spans="2:4" ht="19.05" customHeight="1" x14ac:dyDescent="0.3">
      <c r="B4" s="16"/>
      <c r="C4" s="16"/>
      <c r="D4" s="16"/>
    </row>
    <row r="5" spans="2:4" ht="19.05" customHeight="1" x14ac:dyDescent="0.3"/>
    <row r="6" spans="2:4" ht="15" customHeight="1" thickBot="1" x14ac:dyDescent="0.35"/>
    <row r="7" spans="2:4" ht="28.95" customHeight="1" thickBot="1" x14ac:dyDescent="0.35">
      <c r="B7" s="17" t="s">
        <v>33</v>
      </c>
      <c r="C7" s="18"/>
      <c r="D7" s="19"/>
    </row>
    <row r="8" spans="2:4" ht="19.05" customHeight="1" thickBot="1" x14ac:dyDescent="0.35">
      <c r="B8" s="20" t="s">
        <v>14</v>
      </c>
      <c r="C8" s="21"/>
      <c r="D8" s="81"/>
    </row>
    <row r="9" spans="2:4" ht="19.05" customHeight="1" thickBot="1" x14ac:dyDescent="0.35">
      <c r="B9" s="22" t="s">
        <v>13</v>
      </c>
      <c r="C9" s="23"/>
      <c r="D9" s="83"/>
    </row>
    <row r="10" spans="2:4" ht="19.05" customHeight="1" thickBot="1" x14ac:dyDescent="0.35">
      <c r="B10" s="24" t="s">
        <v>32</v>
      </c>
      <c r="C10" s="25"/>
      <c r="D10" s="26">
        <f>(D8*30%)</f>
        <v>0</v>
      </c>
    </row>
    <row r="11" spans="2:4" ht="9" customHeight="1" thickBot="1" x14ac:dyDescent="0.35"/>
    <row r="12" spans="2:4" ht="28.95" customHeight="1" thickBot="1" x14ac:dyDescent="0.35">
      <c r="B12" s="27" t="s">
        <v>4</v>
      </c>
      <c r="C12" s="28"/>
      <c r="D12" s="29"/>
    </row>
    <row r="13" spans="2:4" ht="19.05" customHeight="1" thickBot="1" x14ac:dyDescent="0.35">
      <c r="B13" s="30" t="s">
        <v>0</v>
      </c>
      <c r="C13" s="31"/>
      <c r="D13" s="81"/>
    </row>
    <row r="14" spans="2:4" ht="19.05" customHeight="1" thickBot="1" x14ac:dyDescent="0.35">
      <c r="B14" s="32" t="s">
        <v>1</v>
      </c>
      <c r="C14" s="33"/>
      <c r="D14" s="82"/>
    </row>
    <row r="15" spans="2:4" ht="19.05" customHeight="1" thickBot="1" x14ac:dyDescent="0.35">
      <c r="B15" s="32" t="s">
        <v>2</v>
      </c>
      <c r="C15" s="33"/>
      <c r="D15" s="83"/>
    </row>
    <row r="16" spans="2:4" ht="28.95" customHeight="1" thickBot="1" x14ac:dyDescent="0.35">
      <c r="B16" s="34" t="s">
        <v>5</v>
      </c>
      <c r="C16" s="35"/>
      <c r="D16" s="36">
        <f>FV(Taxa_mensal,Qtd_anos*12,aporte*-1)</f>
        <v>0</v>
      </c>
    </row>
    <row r="17" spans="1:4" ht="19.05" customHeight="1" thickBot="1" x14ac:dyDescent="0.35">
      <c r="B17" s="37" t="s">
        <v>3</v>
      </c>
      <c r="C17" s="38"/>
      <c r="D17" s="39">
        <f>(Patrimonio*rendimento_carteira)</f>
        <v>0</v>
      </c>
    </row>
    <row r="18" spans="1:4" ht="9" customHeight="1" thickBot="1" x14ac:dyDescent="0.35"/>
    <row r="19" spans="1:4" ht="28.95" customHeight="1" thickBot="1" x14ac:dyDescent="0.35">
      <c r="B19" s="27" t="s">
        <v>11</v>
      </c>
      <c r="C19" s="40"/>
      <c r="D19" s="41" t="s">
        <v>12</v>
      </c>
    </row>
    <row r="20" spans="1:4" ht="19.05" customHeight="1" thickBot="1" x14ac:dyDescent="0.35">
      <c r="A20" s="42">
        <v>2</v>
      </c>
      <c r="B20" s="43" t="s">
        <v>6</v>
      </c>
      <c r="C20" s="44">
        <f>FV($D$15,$A20*12,$D$13*-1)</f>
        <v>0</v>
      </c>
      <c r="D20" s="45">
        <f>(C20*rendimento_carteira)</f>
        <v>0</v>
      </c>
    </row>
    <row r="21" spans="1:4" ht="19.05" customHeight="1" thickBot="1" x14ac:dyDescent="0.35">
      <c r="A21" s="42">
        <v>5</v>
      </c>
      <c r="B21" s="46" t="s">
        <v>7</v>
      </c>
      <c r="C21" s="47">
        <f>FV($D$15,$A21*12,$D$13*-1)</f>
        <v>0</v>
      </c>
      <c r="D21" s="36">
        <f>(C21*rendimento_carteira)</f>
        <v>0</v>
      </c>
    </row>
    <row r="22" spans="1:4" ht="19.05" customHeight="1" thickBot="1" x14ac:dyDescent="0.35">
      <c r="A22" s="42">
        <v>10</v>
      </c>
      <c r="B22" s="46" t="s">
        <v>8</v>
      </c>
      <c r="C22" s="47">
        <f>FV($D$15,$A22*12,$D$13*-1)</f>
        <v>0</v>
      </c>
      <c r="D22" s="36">
        <f>(C22*rendimento_carteira)</f>
        <v>0</v>
      </c>
    </row>
    <row r="23" spans="1:4" ht="28.95" customHeight="1" thickBot="1" x14ac:dyDescent="0.35">
      <c r="A23" s="42">
        <v>20</v>
      </c>
      <c r="B23" s="46" t="s">
        <v>9</v>
      </c>
      <c r="C23" s="47">
        <f>FV($D$15,$A23*12,$D$13*-1)</f>
        <v>0</v>
      </c>
      <c r="D23" s="36">
        <f>(C23*rendimento_carteira)</f>
        <v>0</v>
      </c>
    </row>
    <row r="24" spans="1:4" ht="19.05" customHeight="1" thickBot="1" x14ac:dyDescent="0.35">
      <c r="A24" s="42">
        <v>30</v>
      </c>
      <c r="B24" s="48" t="s">
        <v>10</v>
      </c>
      <c r="C24" s="49">
        <f>FV($D$15,$A24*12,$D$13*-1)</f>
        <v>0</v>
      </c>
      <c r="D24" s="39">
        <f>(C24*rendimento_carteira)</f>
        <v>0</v>
      </c>
    </row>
    <row r="25" spans="1:4" ht="9" customHeight="1" thickBot="1" x14ac:dyDescent="0.35"/>
    <row r="26" spans="1:4" ht="28.95" customHeight="1" thickBot="1" x14ac:dyDescent="0.35">
      <c r="B26" s="50" t="s">
        <v>15</v>
      </c>
      <c r="C26" s="79"/>
      <c r="D26" s="80"/>
    </row>
    <row r="27" spans="1:4" ht="19.05" customHeight="1" thickBot="1" x14ac:dyDescent="0.35">
      <c r="B27" s="51" t="s">
        <v>19</v>
      </c>
      <c r="C27" s="52">
        <f>aporte</f>
        <v>0</v>
      </c>
      <c r="D27" s="53"/>
    </row>
    <row r="28" spans="1:4" ht="9" customHeight="1" thickBot="1" x14ac:dyDescent="0.35"/>
    <row r="29" spans="1:4" ht="28.95" customHeight="1" thickBot="1" x14ac:dyDescent="0.35">
      <c r="B29" s="54" t="s">
        <v>20</v>
      </c>
      <c r="C29" s="55" t="s">
        <v>21</v>
      </c>
      <c r="D29" s="56" t="s">
        <v>22</v>
      </c>
    </row>
    <row r="30" spans="1:4" ht="19.05" customHeight="1" thickBot="1" x14ac:dyDescent="0.35">
      <c r="B30" s="57" t="s">
        <v>23</v>
      </c>
      <c r="C30" s="58" t="str">
        <f>IFERROR(VLOOKUP($C$26&amp;"-"&amp;B30,Planilha2!A:D,4,0),"")</f>
        <v/>
      </c>
      <c r="D30" s="59" t="str">
        <f>IFERROR((C30*$C$27),"")</f>
        <v/>
      </c>
    </row>
    <row r="31" spans="1:4" ht="19.05" customHeight="1" thickBot="1" x14ac:dyDescent="0.35">
      <c r="B31" s="60" t="s">
        <v>24</v>
      </c>
      <c r="C31" s="61" t="str">
        <f>IFERROR(VLOOKUP($C$26&amp;"-"&amp;B31,Planilha2!A:D,4,0),"")</f>
        <v/>
      </c>
      <c r="D31" s="62" t="str">
        <f t="shared" ref="D31:D35" si="0">IFERROR((C31*$C$27),"")</f>
        <v/>
      </c>
    </row>
    <row r="32" spans="1:4" ht="19.05" customHeight="1" thickBot="1" x14ac:dyDescent="0.35">
      <c r="B32" s="60" t="s">
        <v>25</v>
      </c>
      <c r="C32" s="61" t="str">
        <f>IFERROR(VLOOKUP($C$26&amp;"-"&amp;B32,Planilha2!A:D,4,0),"")</f>
        <v/>
      </c>
      <c r="D32" s="62" t="str">
        <f t="shared" si="0"/>
        <v/>
      </c>
    </row>
    <row r="33" spans="2:4" ht="19.05" customHeight="1" thickBot="1" x14ac:dyDescent="0.35">
      <c r="B33" s="60" t="s">
        <v>26</v>
      </c>
      <c r="C33" s="61" t="str">
        <f>IFERROR(VLOOKUP($C$26&amp;"-"&amp;B33,Planilha2!A:D,4,0),"")</f>
        <v/>
      </c>
      <c r="D33" s="62" t="str">
        <f t="shared" si="0"/>
        <v/>
      </c>
    </row>
    <row r="34" spans="2:4" ht="19.05" customHeight="1" thickBot="1" x14ac:dyDescent="0.35">
      <c r="B34" s="60" t="s">
        <v>27</v>
      </c>
      <c r="C34" s="61" t="str">
        <f>IFERROR(VLOOKUP($C$26&amp;"-"&amp;B34,Planilha2!A:D,4,0),"")</f>
        <v/>
      </c>
      <c r="D34" s="62" t="str">
        <f t="shared" si="0"/>
        <v/>
      </c>
    </row>
    <row r="35" spans="2:4" ht="19.05" customHeight="1" thickBot="1" x14ac:dyDescent="0.35">
      <c r="B35" s="63" t="s">
        <v>28</v>
      </c>
      <c r="C35" s="64" t="str">
        <f>IFERROR(VLOOKUP($C$26&amp;"-"&amp;B35,Planilha2!A:D,4,0),"")</f>
        <v/>
      </c>
      <c r="D35" s="65" t="str">
        <f t="shared" si="0"/>
        <v/>
      </c>
    </row>
    <row r="36" spans="2:4" ht="19.05" customHeight="1" thickBot="1" x14ac:dyDescent="0.35">
      <c r="B36" s="66" t="s">
        <v>31</v>
      </c>
      <c r="C36" s="67">
        <f>SUM(C30:C35)</f>
        <v>0</v>
      </c>
      <c r="D36" s="68">
        <f>SUM(D30:D35)</f>
        <v>0</v>
      </c>
    </row>
    <row r="37" spans="2:4" ht="19.05" customHeight="1" x14ac:dyDescent="0.3"/>
    <row r="38" spans="2:4" ht="19.05" customHeight="1" x14ac:dyDescent="0.3"/>
    <row r="39" spans="2:4" ht="19.05" customHeight="1" x14ac:dyDescent="0.3"/>
    <row r="40" spans="2:4" ht="19.05" customHeight="1" x14ac:dyDescent="0.3"/>
    <row r="41" spans="2:4" ht="19.05" customHeight="1" x14ac:dyDescent="0.3"/>
    <row r="42" spans="2:4" ht="19.05" customHeight="1" x14ac:dyDescent="0.3"/>
    <row r="43" spans="2:4" ht="19.05" customHeight="1" x14ac:dyDescent="0.3"/>
    <row r="44" spans="2:4" ht="19.05" customHeight="1" x14ac:dyDescent="0.3"/>
    <row r="45" spans="2:4" ht="19.05" customHeight="1" x14ac:dyDescent="0.3"/>
    <row r="46" spans="2:4" ht="19.05" customHeight="1" x14ac:dyDescent="0.3"/>
    <row r="47" spans="2:4" ht="19.05" customHeight="1" x14ac:dyDescent="0.3"/>
    <row r="48" spans="2:4" ht="19.05" customHeight="1" x14ac:dyDescent="0.3"/>
    <row r="49" spans="2:4" ht="9" customHeight="1" thickBot="1" x14ac:dyDescent="0.35"/>
    <row r="50" spans="2:4" ht="28.95" customHeight="1" thickBot="1" x14ac:dyDescent="0.35">
      <c r="B50" s="69" t="s">
        <v>34</v>
      </c>
      <c r="C50" s="70" t="s">
        <v>35</v>
      </c>
      <c r="D50" s="71"/>
    </row>
    <row r="51" spans="2:4" ht="19.05" customHeight="1" thickBot="1" x14ac:dyDescent="0.35">
      <c r="B51" s="57" t="s">
        <v>36</v>
      </c>
      <c r="C51" s="73" t="s">
        <v>37</v>
      </c>
      <c r="D51" s="74"/>
    </row>
    <row r="52" spans="2:4" ht="19.05" customHeight="1" thickBot="1" x14ac:dyDescent="0.35">
      <c r="B52" s="60" t="s">
        <v>38</v>
      </c>
      <c r="C52" s="75" t="s">
        <v>39</v>
      </c>
      <c r="D52" s="76"/>
    </row>
    <row r="53" spans="2:4" ht="19.05" customHeight="1" thickBot="1" x14ac:dyDescent="0.35">
      <c r="B53" s="72" t="s">
        <v>40</v>
      </c>
      <c r="C53" s="77" t="s">
        <v>41</v>
      </c>
      <c r="D53" s="78"/>
    </row>
    <row r="54" spans="2:4" ht="19.05" customHeight="1" x14ac:dyDescent="0.3"/>
  </sheetData>
  <sheetProtection algorithmName="SHA-512" hashValue="7MA7W1xCo09AJ0s+omu8dOwWlASPmJ+tAyr7oVdwrPw2JOa6ShmP27ZMloRvKvdKcgJbjMYUDUFR8ufAdmk0kg==" saltValue="+YHT17obLlVYKuZvBskErQ==" spinCount="100000" sheet="1" objects="1" scenarios="1"/>
  <mergeCells count="11">
    <mergeCell ref="B7:D7"/>
    <mergeCell ref="B8:C8"/>
    <mergeCell ref="B9:C9"/>
    <mergeCell ref="B10:C10"/>
    <mergeCell ref="B19:C19"/>
    <mergeCell ref="B13:C13"/>
    <mergeCell ref="B14:C14"/>
    <mergeCell ref="B15:C15"/>
    <mergeCell ref="B16:C16"/>
    <mergeCell ref="B17:C17"/>
    <mergeCell ref="B12:D12"/>
  </mergeCells>
  <dataValidations count="1">
    <dataValidation type="list" allowBlank="1" showInputMessage="1" showErrorMessage="1" sqref="C26" xr:uid="{B510E2BD-6D4A-4878-B1C2-FEA9045FA45C}">
      <formula1>"Conservador,Moderado,Agressivo"</formula1>
    </dataValidation>
  </dataValidations>
  <hyperlinks>
    <hyperlink ref="C51" r:id="rId1" xr:uid="{AE2B3CC0-C792-430A-A3A6-DDADA16DC29A}"/>
    <hyperlink ref="C52" r:id="rId2" xr:uid="{6F079405-71C7-46C7-AA11-9C47121AC75A}"/>
    <hyperlink ref="C53" r:id="rId3" xr:uid="{B20F9F3F-E2E4-4156-B744-97F4C1D5B067}"/>
  </hyperlinks>
  <pageMargins left="0.511811024" right="0.511811024" top="0.78740157499999996" bottom="0.78740157499999996" header="0.31496062000000002" footer="0.31496062000000002"/>
  <ignoredErrors>
    <ignoredError sqref="C30:C35" emptyCellReference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2ECB-F489-4C45-B43A-71C7310EFC2E}">
  <dimension ref="A2:D20"/>
  <sheetViews>
    <sheetView showGridLines="0" zoomScale="130" zoomScaleNormal="130" workbookViewId="0">
      <selection activeCell="A2" sqref="A2:D2"/>
    </sheetView>
  </sheetViews>
  <sheetFormatPr defaultRowHeight="14.4" x14ac:dyDescent="0.3"/>
  <cols>
    <col min="1" max="1" width="27.21875" style="2" bestFit="1" customWidth="1"/>
    <col min="2" max="3" width="17" style="2" customWidth="1"/>
    <col min="4" max="4" width="8.88671875" style="3"/>
    <col min="5" max="16384" width="8.88671875" style="1"/>
  </cols>
  <sheetData>
    <row r="2" spans="1:4" ht="15" thickBot="1" x14ac:dyDescent="0.35">
      <c r="A2" s="12" t="s">
        <v>30</v>
      </c>
      <c r="B2" s="12" t="s">
        <v>15</v>
      </c>
      <c r="C2" s="12" t="s">
        <v>20</v>
      </c>
      <c r="D2" s="13" t="s">
        <v>29</v>
      </c>
    </row>
    <row r="3" spans="1:4" x14ac:dyDescent="0.3">
      <c r="A3" s="5" t="str">
        <f>B3&amp;"-"&amp;C3</f>
        <v>Conservador-Papel</v>
      </c>
      <c r="B3" s="6" t="s">
        <v>17</v>
      </c>
      <c r="C3" s="5" t="s">
        <v>23</v>
      </c>
      <c r="D3" s="7">
        <v>0.3</v>
      </c>
    </row>
    <row r="4" spans="1:4" x14ac:dyDescent="0.3">
      <c r="A4" s="4" t="str">
        <f t="shared" ref="A4:A20" si="0">B4&amp;"-"&amp;C4</f>
        <v>Conservador-Tijolo</v>
      </c>
      <c r="B4" s="2" t="s">
        <v>17</v>
      </c>
      <c r="C4" s="4" t="s">
        <v>24</v>
      </c>
      <c r="D4" s="8">
        <v>0.5</v>
      </c>
    </row>
    <row r="5" spans="1:4" x14ac:dyDescent="0.3">
      <c r="A5" s="4" t="str">
        <f t="shared" si="0"/>
        <v>Conservador-Híbridos</v>
      </c>
      <c r="B5" s="2" t="s">
        <v>17</v>
      </c>
      <c r="C5" s="4" t="s">
        <v>25</v>
      </c>
      <c r="D5" s="8">
        <v>0.1</v>
      </c>
    </row>
    <row r="6" spans="1:4" x14ac:dyDescent="0.3">
      <c r="A6" s="4" t="str">
        <f t="shared" si="0"/>
        <v>Conservador-FOFs</v>
      </c>
      <c r="B6" s="2" t="s">
        <v>17</v>
      </c>
      <c r="C6" s="4" t="s">
        <v>26</v>
      </c>
      <c r="D6" s="8">
        <v>0.1</v>
      </c>
    </row>
    <row r="7" spans="1:4" x14ac:dyDescent="0.3">
      <c r="A7" s="4" t="str">
        <f t="shared" si="0"/>
        <v>Conservador-Desenvolvimento</v>
      </c>
      <c r="B7" s="2" t="s">
        <v>17</v>
      </c>
      <c r="C7" s="4" t="s">
        <v>27</v>
      </c>
      <c r="D7" s="8">
        <v>0</v>
      </c>
    </row>
    <row r="8" spans="1:4" ht="15" thickBot="1" x14ac:dyDescent="0.35">
      <c r="A8" s="9" t="str">
        <f t="shared" si="0"/>
        <v>Conservador-Hotelarias</v>
      </c>
      <c r="B8" s="10" t="s">
        <v>17</v>
      </c>
      <c r="C8" s="9" t="s">
        <v>28</v>
      </c>
      <c r="D8" s="11">
        <v>0</v>
      </c>
    </row>
    <row r="9" spans="1:4" x14ac:dyDescent="0.3">
      <c r="A9" s="5" t="str">
        <f t="shared" si="0"/>
        <v>Moderado-Papel</v>
      </c>
      <c r="B9" s="6" t="s">
        <v>18</v>
      </c>
      <c r="C9" s="5" t="s">
        <v>23</v>
      </c>
      <c r="D9" s="7">
        <v>0.32</v>
      </c>
    </row>
    <row r="10" spans="1:4" x14ac:dyDescent="0.3">
      <c r="A10" s="4" t="str">
        <f t="shared" si="0"/>
        <v>Moderado-Tijolo</v>
      </c>
      <c r="B10" s="2" t="s">
        <v>18</v>
      </c>
      <c r="C10" s="4" t="s">
        <v>24</v>
      </c>
      <c r="D10" s="8">
        <v>0.35</v>
      </c>
    </row>
    <row r="11" spans="1:4" x14ac:dyDescent="0.3">
      <c r="A11" s="4" t="str">
        <f t="shared" si="0"/>
        <v>Moderado-Híbridos</v>
      </c>
      <c r="B11" s="2" t="s">
        <v>18</v>
      </c>
      <c r="C11" s="4" t="s">
        <v>25</v>
      </c>
      <c r="D11" s="8">
        <v>0.08</v>
      </c>
    </row>
    <row r="12" spans="1:4" x14ac:dyDescent="0.3">
      <c r="A12" s="4" t="str">
        <f t="shared" si="0"/>
        <v>Moderado-FOFs</v>
      </c>
      <c r="B12" s="2" t="s">
        <v>18</v>
      </c>
      <c r="C12" s="4" t="s">
        <v>26</v>
      </c>
      <c r="D12" s="8">
        <v>0.05</v>
      </c>
    </row>
    <row r="13" spans="1:4" x14ac:dyDescent="0.3">
      <c r="A13" s="4" t="str">
        <f t="shared" si="0"/>
        <v>Moderado-Desenvolvimento</v>
      </c>
      <c r="B13" s="2" t="s">
        <v>18</v>
      </c>
      <c r="C13" s="4" t="s">
        <v>27</v>
      </c>
      <c r="D13" s="8">
        <v>0.1</v>
      </c>
    </row>
    <row r="14" spans="1:4" ht="15" thickBot="1" x14ac:dyDescent="0.35">
      <c r="A14" s="9" t="str">
        <f t="shared" si="0"/>
        <v>Moderado-Hotelarias</v>
      </c>
      <c r="B14" s="10" t="s">
        <v>18</v>
      </c>
      <c r="C14" s="9" t="s">
        <v>28</v>
      </c>
      <c r="D14" s="11">
        <v>0.1</v>
      </c>
    </row>
    <row r="15" spans="1:4" x14ac:dyDescent="0.3">
      <c r="A15" s="5" t="str">
        <f t="shared" si="0"/>
        <v>Agressivo-Papel</v>
      </c>
      <c r="B15" s="6" t="s">
        <v>16</v>
      </c>
      <c r="C15" s="5" t="s">
        <v>23</v>
      </c>
      <c r="D15" s="7">
        <v>0.5</v>
      </c>
    </row>
    <row r="16" spans="1:4" x14ac:dyDescent="0.3">
      <c r="A16" s="4" t="str">
        <f t="shared" si="0"/>
        <v>Agressivo-Tijolo</v>
      </c>
      <c r="B16" s="2" t="s">
        <v>16</v>
      </c>
      <c r="C16" s="4" t="s">
        <v>24</v>
      </c>
      <c r="D16" s="8">
        <v>0.1</v>
      </c>
    </row>
    <row r="17" spans="1:4" x14ac:dyDescent="0.3">
      <c r="A17" s="4" t="str">
        <f t="shared" si="0"/>
        <v>Agressivo-Híbridos</v>
      </c>
      <c r="B17" s="2" t="s">
        <v>16</v>
      </c>
      <c r="C17" s="4" t="s">
        <v>25</v>
      </c>
      <c r="D17" s="8">
        <v>0.05</v>
      </c>
    </row>
    <row r="18" spans="1:4" x14ac:dyDescent="0.3">
      <c r="A18" s="4" t="str">
        <f t="shared" si="0"/>
        <v>Agressivo-FOFs</v>
      </c>
      <c r="B18" s="2" t="s">
        <v>16</v>
      </c>
      <c r="C18" s="4" t="s">
        <v>26</v>
      </c>
      <c r="D18" s="8">
        <v>0.05</v>
      </c>
    </row>
    <row r="19" spans="1:4" x14ac:dyDescent="0.3">
      <c r="A19" s="4" t="str">
        <f t="shared" si="0"/>
        <v>Agressivo-Desenvolvimento</v>
      </c>
      <c r="B19" s="2" t="s">
        <v>16</v>
      </c>
      <c r="C19" s="4" t="s">
        <v>27</v>
      </c>
      <c r="D19" s="8">
        <v>0.2</v>
      </c>
    </row>
    <row r="20" spans="1:4" ht="15" thickBot="1" x14ac:dyDescent="0.35">
      <c r="A20" s="9" t="str">
        <f t="shared" si="0"/>
        <v>Agressivo-Hotelarias</v>
      </c>
      <c r="B20" s="10" t="s">
        <v>16</v>
      </c>
      <c r="C20" s="9" t="s">
        <v>28</v>
      </c>
      <c r="D20" s="1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 INVEST.</vt:lpstr>
      <vt:lpstr>Planilha2</vt:lpstr>
      <vt:lpstr>aporte</vt:lpstr>
      <vt:lpstr>Patrimonio</vt:lpstr>
      <vt:lpstr>Qtd_anos</vt:lpstr>
      <vt:lpstr>rendimento_carteira</vt:lpstr>
      <vt:lpstr>Salario</vt:lpstr>
      <vt:lpstr>Sugestao_Invstimento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Oliveira</dc:creator>
  <cp:lastModifiedBy>Mauricio Oliveira</cp:lastModifiedBy>
  <dcterms:created xsi:type="dcterms:W3CDTF">2025-12-16T22:37:53Z</dcterms:created>
  <dcterms:modified xsi:type="dcterms:W3CDTF">2025-12-17T22:54:17Z</dcterms:modified>
</cp:coreProperties>
</file>